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328"/>
  <workbookPr defaultThemeVersion="166925"/>
  <mc:AlternateContent xmlns:mc="http://schemas.openxmlformats.org/markup-compatibility/2006">
    <mc:Choice Requires="x15">
      <x15ac:absPath xmlns:x15ac="http://schemas.microsoft.com/office/spreadsheetml/2010/11/ac" url="C:\Users\ostermma\Desktop\Vorträge\"/>
    </mc:Choice>
  </mc:AlternateContent>
  <xr:revisionPtr revIDLastSave="0" documentId="13_ncr:1_{9B2A2EEA-A1C3-4F15-83FD-B501A24EA3A1}" xr6:coauthVersionLast="47" xr6:coauthVersionMax="47" xr10:uidLastSave="{00000000-0000-0000-0000-000000000000}"/>
  <bookViews>
    <workbookView xWindow="-98" yWindow="-98" windowWidth="21795" windowHeight="12975" xr2:uid="{8490625F-534F-41F7-A0AD-B9E4D1427142}"/>
  </bookViews>
  <sheets>
    <sheet name="Experiment_Phase3" sheetId="1" r:id="rId1"/>
    <sheet name="Cafe_Donut_all" sheetId="3" r:id="rId2"/>
    <sheet name="HXL_Nachfrageverteilung" sheetId="4" r:id="rId3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calcChain.xml><?xml version="1.0" encoding="utf-8"?>
<calcChain xmlns="http://schemas.openxmlformats.org/spreadsheetml/2006/main">
  <c r="E17" i="3" l="1"/>
  <c r="F17" i="3"/>
  <c r="D17" i="3"/>
  <c r="I17" i="3"/>
  <c r="H17" i="3"/>
  <c r="G17" i="3"/>
  <c r="C17" i="3"/>
  <c r="G20" i="1"/>
  <c r="E20" i="1"/>
  <c r="C20" i="1"/>
  <c r="B11" i="1" l="1"/>
  <c r="B10" i="1"/>
  <c r="G25" i="1" l="1"/>
  <c r="E25" i="1"/>
  <c r="C25" i="1"/>
  <c r="C29" i="1" l="1"/>
</calcChain>
</file>

<file path=xl/sharedStrings.xml><?xml version="1.0" encoding="utf-8"?>
<sst xmlns="http://schemas.openxmlformats.org/spreadsheetml/2006/main" count="26" uniqueCount="25">
  <si>
    <t>Newsboy - Experiment</t>
  </si>
  <si>
    <t>Gewinn je verkaufter Einheit</t>
  </si>
  <si>
    <t>Einkauspreis je St.</t>
  </si>
  <si>
    <t>Verkausfpreis je St.</t>
  </si>
  <si>
    <t>Resterlös je St.</t>
  </si>
  <si>
    <t>Verlust je nicht verkaufter Einheit</t>
  </si>
  <si>
    <t>Daten</t>
  </si>
  <si>
    <t>Phase 3: Bestimmung des Gewinns</t>
  </si>
  <si>
    <t>Bestellmenge</t>
  </si>
  <si>
    <t>Nachfrage Realisierung d</t>
  </si>
  <si>
    <t>Restbestand</t>
  </si>
  <si>
    <t>Gewinnermittlung</t>
  </si>
  <si>
    <t>Mein Gesamtgewinn</t>
  </si>
  <si>
    <t>Berechnung der optimalen Bestellmenge</t>
  </si>
  <si>
    <t>c_u</t>
  </si>
  <si>
    <t>c_o</t>
  </si>
  <si>
    <t>Nachfrageverteilung</t>
  </si>
  <si>
    <t>d</t>
  </si>
  <si>
    <t>P(D=d)</t>
  </si>
  <si>
    <t>E(C)</t>
  </si>
  <si>
    <t>Q</t>
  </si>
  <si>
    <t>Frequency</t>
  </si>
  <si>
    <r>
      <t>f</t>
    </r>
    <r>
      <rPr>
        <b/>
        <vertAlign val="subscript"/>
        <sz val="14"/>
        <color theme="0"/>
        <rFont val="Calibri"/>
        <family val="2"/>
        <scheme val="minor"/>
      </rPr>
      <t>D(x)</t>
    </r>
  </si>
  <si>
    <r>
      <t>F</t>
    </r>
    <r>
      <rPr>
        <b/>
        <vertAlign val="subscript"/>
        <sz val="14"/>
        <color theme="0"/>
        <rFont val="Calibri"/>
        <family val="2"/>
        <scheme val="minor"/>
      </rPr>
      <t>D(x)</t>
    </r>
  </si>
  <si>
    <t>Σ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</si>
</sst>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12" x14ac:knownFonts="1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11"/>
      <color rgb="FF000000"/>
      <name val="Calibri"/>
      <family val="2"/>
      <scheme val="minor"/>
    </font>
    <font>
      <b/>
      <sz val="11"/>
      <color theme="0"/>
      <name val="Calibri"/>
      <family val="2"/>
      <scheme val="minor"/>
    </font>
    <font>
      <sz val="11"/>
      <color theme="0"/>
      <name val="Calibri"/>
      <family val="2"/>
      <scheme val="minor"/>
    </font>
    <font>
      <b/>
      <sz val="18"/>
      <color theme="0"/>
      <name val="Calibri"/>
      <family val="2"/>
      <scheme val="minor"/>
    </font>
    <font>
      <b/>
      <sz val="16"/>
      <color theme="0"/>
      <name val="Calibri"/>
      <family val="2"/>
      <scheme val="minor"/>
    </font>
    <font>
      <b/>
      <sz val="14"/>
      <color theme="1"/>
      <name val="Calibri"/>
      <family val="2"/>
      <scheme val="minor"/>
    </font>
    <font>
      <sz val="16"/>
      <color theme="1"/>
      <name val="Calibri"/>
      <family val="2"/>
      <scheme val="minor"/>
    </font>
    <font>
      <b/>
      <sz val="14"/>
      <color theme="0"/>
      <name val="Calibri"/>
      <family val="2"/>
      <scheme val="minor"/>
    </font>
    <font>
      <b/>
      <vertAlign val="subscript"/>
      <sz val="14"/>
      <color theme="0"/>
      <name val="Calibri"/>
      <family val="2"/>
      <scheme val="minor"/>
    </font>
    <font>
      <sz val="12"/>
      <color theme="1"/>
      <name val="Calibri"/>
      <family val="2"/>
      <scheme val="minor"/>
    </font>
  </fonts>
  <fills count="8">
    <fill>
      <patternFill patternType="none"/>
    </fill>
    <fill>
      <patternFill patternType="gray125"/>
    </fill>
    <fill>
      <patternFill patternType="solid">
        <fgColor theme="4" tint="-0.249977111117893"/>
        <bgColor indexed="64"/>
      </patternFill>
    </fill>
    <fill>
      <patternFill patternType="solid">
        <fgColor theme="0" tint="-0.499984740745262"/>
        <bgColor indexed="64"/>
      </patternFill>
    </fill>
    <fill>
      <patternFill patternType="solid">
        <fgColor theme="0" tint="-0.14999847407452621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0"/>
        <bgColor indexed="64"/>
      </patternFill>
    </fill>
  </fills>
  <borders count="16">
    <border>
      <left/>
      <right/>
      <top/>
      <bottom/>
      <diagonal/>
    </border>
    <border>
      <left/>
      <right/>
      <top/>
      <bottom style="thin">
        <color indexed="64"/>
      </bottom>
      <diagonal/>
    </border>
    <border>
      <left/>
      <right style="thin">
        <color indexed="64"/>
      </right>
      <top/>
      <bottom/>
      <diagonal/>
    </border>
    <border>
      <left/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/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/>
      <bottom/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/>
      <right/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/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1">
    <xf numFmtId="0" fontId="0" fillId="0" borderId="0"/>
  </cellStyleXfs>
  <cellXfs count="62">
    <xf numFmtId="0" fontId="0" fillId="0" borderId="0" xfId="0"/>
    <xf numFmtId="0" fontId="0" fillId="0" borderId="0" xfId="0" applyAlignment="1">
      <alignment horizontal="center"/>
    </xf>
    <xf numFmtId="0" fontId="0" fillId="0" borderId="0" xfId="0" applyAlignment="1">
      <alignment horizontal="center" vertical="center"/>
    </xf>
    <xf numFmtId="0" fontId="0" fillId="0" borderId="0" xfId="0" applyAlignment="1">
      <alignment horizontal="right"/>
    </xf>
    <xf numFmtId="0" fontId="1" fillId="0" borderId="0" xfId="0" applyFont="1"/>
    <xf numFmtId="0" fontId="2" fillId="0" borderId="0" xfId="0" applyFont="1"/>
    <xf numFmtId="0" fontId="0" fillId="4" borderId="5" xfId="0" applyFill="1" applyBorder="1"/>
    <xf numFmtId="2" fontId="0" fillId="0" borderId="6" xfId="0" applyNumberFormat="1" applyBorder="1" applyAlignment="1">
      <alignment horizontal="center" vertical="center"/>
    </xf>
    <xf numFmtId="0" fontId="0" fillId="4" borderId="7" xfId="0" applyFill="1" applyBorder="1"/>
    <xf numFmtId="2" fontId="0" fillId="0" borderId="2" xfId="0" applyNumberFormat="1" applyBorder="1" applyAlignment="1">
      <alignment horizontal="center" vertical="center"/>
    </xf>
    <xf numFmtId="0" fontId="0" fillId="4" borderId="8" xfId="0" applyFill="1" applyBorder="1"/>
    <xf numFmtId="2" fontId="0" fillId="0" borderId="3" xfId="0" applyNumberFormat="1" applyBorder="1" applyAlignment="1">
      <alignment horizontal="center" vertical="center"/>
    </xf>
    <xf numFmtId="0" fontId="1" fillId="4" borderId="7" xfId="0" applyFont="1" applyFill="1" applyBorder="1"/>
    <xf numFmtId="2" fontId="1" fillId="0" borderId="2" xfId="0" applyNumberFormat="1" applyFont="1" applyBorder="1" applyAlignment="1">
      <alignment horizontal="center"/>
    </xf>
    <xf numFmtId="0" fontId="1" fillId="4" borderId="8" xfId="0" applyFont="1" applyFill="1" applyBorder="1"/>
    <xf numFmtId="2" fontId="1" fillId="0" borderId="3" xfId="0" applyNumberFormat="1" applyFont="1" applyBorder="1" applyAlignment="1">
      <alignment horizontal="center"/>
    </xf>
    <xf numFmtId="0" fontId="4" fillId="3" borderId="4" xfId="0" applyFont="1" applyFill="1" applyBorder="1"/>
    <xf numFmtId="0" fontId="3" fillId="5" borderId="0" xfId="0" applyFont="1" applyFill="1"/>
    <xf numFmtId="0" fontId="1" fillId="0" borderId="0" xfId="0" applyFont="1" applyAlignment="1">
      <alignment horizontal="center"/>
    </xf>
    <xf numFmtId="0" fontId="1" fillId="0" borderId="0" xfId="0" applyFont="1" applyAlignment="1">
      <alignment horizontal="center" vertical="center"/>
    </xf>
    <xf numFmtId="0" fontId="1" fillId="6" borderId="0" xfId="0" applyFont="1" applyFill="1"/>
    <xf numFmtId="0" fontId="7" fillId="0" borderId="0" xfId="0" applyFont="1"/>
    <xf numFmtId="0" fontId="8" fillId="4" borderId="13" xfId="0" applyFont="1" applyFill="1" applyBorder="1" applyAlignment="1">
      <alignment horizontal="center"/>
    </xf>
    <xf numFmtId="0" fontId="8" fillId="4" borderId="9" xfId="0" applyFont="1" applyFill="1" applyBorder="1" applyAlignment="1">
      <alignment horizontal="center"/>
    </xf>
    <xf numFmtId="0" fontId="8" fillId="4" borderId="10" xfId="0" applyFont="1" applyFill="1" applyBorder="1" applyAlignment="1">
      <alignment horizontal="center"/>
    </xf>
    <xf numFmtId="0" fontId="8" fillId="4" borderId="0" xfId="0" applyFont="1" applyFill="1" applyAlignment="1">
      <alignment horizontal="center"/>
    </xf>
    <xf numFmtId="0" fontId="8" fillId="4" borderId="2" xfId="0" applyFont="1" applyFill="1" applyBorder="1" applyAlignment="1">
      <alignment horizontal="center"/>
    </xf>
    <xf numFmtId="0" fontId="8" fillId="0" borderId="13" xfId="0" applyFont="1" applyBorder="1" applyAlignment="1">
      <alignment horizontal="center"/>
    </xf>
    <xf numFmtId="0" fontId="8" fillId="0" borderId="9" xfId="0" applyFont="1" applyBorder="1" applyAlignment="1">
      <alignment horizontal="center"/>
    </xf>
    <xf numFmtId="0" fontId="8" fillId="0" borderId="10" xfId="0" applyFont="1" applyBorder="1" applyAlignment="1">
      <alignment horizontal="center"/>
    </xf>
    <xf numFmtId="0" fontId="8" fillId="0" borderId="0" xfId="0" applyFont="1" applyAlignment="1">
      <alignment horizontal="center"/>
    </xf>
    <xf numFmtId="0" fontId="8" fillId="0" borderId="2" xfId="0" applyFont="1" applyBorder="1" applyAlignment="1">
      <alignment horizontal="center"/>
    </xf>
    <xf numFmtId="0" fontId="8" fillId="0" borderId="14" xfId="0" applyFont="1" applyBorder="1" applyAlignment="1">
      <alignment horizontal="center"/>
    </xf>
    <xf numFmtId="0" fontId="8" fillId="0" borderId="1" xfId="0" applyFont="1" applyBorder="1" applyAlignment="1">
      <alignment horizontal="center"/>
    </xf>
    <xf numFmtId="0" fontId="8" fillId="0" borderId="11" xfId="0" quotePrefix="1" applyFont="1" applyBorder="1" applyAlignment="1">
      <alignment horizontal="center"/>
    </xf>
    <xf numFmtId="0" fontId="8" fillId="0" borderId="12" xfId="0" applyFont="1" applyBorder="1" applyAlignment="1">
      <alignment horizontal="center"/>
    </xf>
    <xf numFmtId="0" fontId="8" fillId="0" borderId="15" xfId="0" applyFont="1" applyBorder="1" applyAlignment="1">
      <alignment horizontal="center"/>
    </xf>
    <xf numFmtId="0" fontId="9" fillId="2" borderId="11" xfId="0" applyFont="1" applyFill="1" applyBorder="1" applyAlignment="1">
      <alignment horizontal="center"/>
    </xf>
    <xf numFmtId="0" fontId="9" fillId="2" borderId="12" xfId="0" applyFont="1" applyFill="1" applyBorder="1" applyAlignment="1">
      <alignment horizontal="center"/>
    </xf>
    <xf numFmtId="0" fontId="9" fillId="2" borderId="15" xfId="0" applyFont="1" applyFill="1" applyBorder="1" applyAlignment="1">
      <alignment horizontal="center"/>
    </xf>
    <xf numFmtId="0" fontId="11" fillId="7" borderId="13" xfId="0" applyFont="1" applyFill="1" applyBorder="1" applyAlignment="1">
      <alignment horizontal="center"/>
    </xf>
    <xf numFmtId="0" fontId="11" fillId="7" borderId="9" xfId="0" applyFont="1" applyFill="1" applyBorder="1" applyAlignment="1">
      <alignment horizontal="center"/>
    </xf>
    <xf numFmtId="0" fontId="11" fillId="7" borderId="6" xfId="0" applyFont="1" applyFill="1" applyBorder="1" applyAlignment="1">
      <alignment horizontal="center"/>
    </xf>
    <xf numFmtId="0" fontId="11" fillId="7" borderId="10" xfId="0" applyFont="1" applyFill="1" applyBorder="1" applyAlignment="1">
      <alignment horizontal="center"/>
    </xf>
    <xf numFmtId="0" fontId="11" fillId="7" borderId="0" xfId="0" applyFont="1" applyFill="1" applyAlignment="1">
      <alignment horizontal="center"/>
    </xf>
    <xf numFmtId="0" fontId="11" fillId="7" borderId="2" xfId="0" applyFont="1" applyFill="1" applyBorder="1" applyAlignment="1">
      <alignment horizontal="center"/>
    </xf>
    <xf numFmtId="0" fontId="11" fillId="7" borderId="14" xfId="0" applyFont="1" applyFill="1" applyBorder="1" applyAlignment="1">
      <alignment horizontal="center"/>
    </xf>
    <xf numFmtId="0" fontId="11" fillId="7" borderId="1" xfId="0" applyFont="1" applyFill="1" applyBorder="1" applyAlignment="1">
      <alignment horizontal="center"/>
    </xf>
    <xf numFmtId="0" fontId="11" fillId="7" borderId="3" xfId="0" applyFont="1" applyFill="1" applyBorder="1" applyAlignment="1">
      <alignment horizontal="center"/>
    </xf>
    <xf numFmtId="0" fontId="11" fillId="7" borderId="11" xfId="0" applyFont="1" applyFill="1" applyBorder="1" applyAlignment="1">
      <alignment horizontal="center"/>
    </xf>
    <xf numFmtId="0" fontId="11" fillId="7" borderId="12" xfId="0" applyFont="1" applyFill="1" applyBorder="1" applyAlignment="1">
      <alignment horizontal="center"/>
    </xf>
    <xf numFmtId="0" fontId="11" fillId="7" borderId="15" xfId="0" applyFont="1" applyFill="1" applyBorder="1" applyAlignment="1">
      <alignment horizontal="center"/>
    </xf>
    <xf numFmtId="0" fontId="5" fillId="2" borderId="0" xfId="0" applyFont="1" applyFill="1" applyAlignment="1">
      <alignment horizontal="center"/>
    </xf>
    <xf numFmtId="0" fontId="1" fillId="0" borderId="0" xfId="0" applyFont="1" applyAlignment="1">
      <alignment horizontal="center"/>
    </xf>
    <xf numFmtId="0" fontId="3" fillId="2" borderId="0" xfId="0" applyFont="1" applyFill="1" applyAlignment="1">
      <alignment horizontal="center"/>
    </xf>
    <xf numFmtId="0" fontId="6" fillId="2" borderId="10" xfId="0" applyFont="1" applyFill="1" applyBorder="1" applyAlignment="1">
      <alignment horizontal="center"/>
    </xf>
    <xf numFmtId="0" fontId="6" fillId="2" borderId="0" xfId="0" applyFont="1" applyFill="1" applyAlignment="1">
      <alignment horizontal="center"/>
    </xf>
    <xf numFmtId="0" fontId="6" fillId="2" borderId="11" xfId="0" applyFont="1" applyFill="1" applyBorder="1" applyAlignment="1">
      <alignment horizontal="center"/>
    </xf>
    <xf numFmtId="0" fontId="6" fillId="2" borderId="12" xfId="0" applyFont="1" applyFill="1" applyBorder="1" applyAlignment="1">
      <alignment horizontal="center"/>
    </xf>
    <xf numFmtId="0" fontId="6" fillId="2" borderId="13" xfId="0" applyFont="1" applyFill="1" applyBorder="1" applyAlignment="1">
      <alignment horizontal="center"/>
    </xf>
    <xf numFmtId="0" fontId="6" fillId="2" borderId="9" xfId="0" applyFont="1" applyFill="1" applyBorder="1" applyAlignment="1">
      <alignment horizontal="center"/>
    </xf>
    <xf numFmtId="0" fontId="6" fillId="2" borderId="6" xfId="0" applyFont="1" applyFill="1" applyBorder="1" applyAlignment="1">
      <alignment horizontal="center"/>
    </xf>
  </cellXfs>
  <cellStyles count="1">
    <cellStyle name="Standard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worksheet" Target="worksheets/sheet3.xml"/><Relationship Id="rId7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/Relationships>
</file>

<file path=xl/theme/theme1.xml><?xml version="1.0" encoding="utf-8"?>
<a:theme xmlns:a="http://schemas.openxmlformats.org/drawingml/2006/main" name="Office 2013 – 2022-Design">
  <a:themeElements>
    <a:clrScheme name="Office 2013 – 2022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 2013 – 2022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 2013 – 2022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2013 - 2022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9C8B4E0-7CD1-4BB3-A7ED-047A84227F9F}">
  <sheetPr>
    <pageSetUpPr fitToPage="1"/>
  </sheetPr>
  <dimension ref="A1:I29"/>
  <sheetViews>
    <sheetView showGridLines="0" tabSelected="1" topLeftCell="A14" zoomScale="139" zoomScaleNormal="139" workbookViewId="0">
      <selection activeCell="E19" sqref="E19"/>
    </sheetView>
  </sheetViews>
  <sheetFormatPr baseColWidth="10" defaultRowHeight="14.25" x14ac:dyDescent="0.45"/>
  <cols>
    <col min="1" max="1" width="28.33203125" bestFit="1" customWidth="1"/>
    <col min="2" max="2" width="14.3984375" customWidth="1"/>
    <col min="3" max="3" width="8.3984375" customWidth="1"/>
    <col min="4" max="4" width="3.59765625" customWidth="1"/>
    <col min="5" max="5" width="8.3984375" customWidth="1"/>
    <col min="6" max="6" width="3.59765625" customWidth="1"/>
    <col min="7" max="7" width="8.53125" customWidth="1"/>
  </cols>
  <sheetData>
    <row r="1" spans="1:9" ht="23.25" x14ac:dyDescent="0.7">
      <c r="A1" s="52" t="s">
        <v>0</v>
      </c>
      <c r="B1" s="52"/>
    </row>
    <row r="2" spans="1:9" x14ac:dyDescent="0.45">
      <c r="A2" s="4"/>
      <c r="B2" s="4"/>
    </row>
    <row r="6" spans="1:9" x14ac:dyDescent="0.45">
      <c r="A6" s="16" t="s">
        <v>6</v>
      </c>
    </row>
    <row r="7" spans="1:9" x14ac:dyDescent="0.45">
      <c r="A7" s="6" t="s">
        <v>2</v>
      </c>
      <c r="B7" s="7">
        <v>1.5</v>
      </c>
      <c r="E7" s="4"/>
      <c r="F7" s="5"/>
      <c r="G7" s="5"/>
      <c r="H7" s="5"/>
    </row>
    <row r="8" spans="1:9" x14ac:dyDescent="0.45">
      <c r="A8" s="8" t="s">
        <v>3</v>
      </c>
      <c r="B8" s="9">
        <v>5.5</v>
      </c>
      <c r="F8" s="1"/>
      <c r="G8" s="1"/>
      <c r="H8" s="1"/>
      <c r="I8" s="2"/>
    </row>
    <row r="9" spans="1:9" x14ac:dyDescent="0.45">
      <c r="A9" s="10" t="s">
        <v>4</v>
      </c>
      <c r="B9" s="11">
        <v>0.5</v>
      </c>
      <c r="E9" s="3"/>
      <c r="F9" s="18"/>
      <c r="G9" s="18"/>
      <c r="H9" s="18"/>
      <c r="I9" s="1"/>
    </row>
    <row r="10" spans="1:9" x14ac:dyDescent="0.45">
      <c r="A10" s="12" t="s">
        <v>1</v>
      </c>
      <c r="B10" s="13">
        <f>B8-B7</f>
        <v>4</v>
      </c>
    </row>
    <row r="11" spans="1:9" x14ac:dyDescent="0.45">
      <c r="A11" s="14" t="s">
        <v>5</v>
      </c>
      <c r="B11" s="15">
        <f>B7-B9</f>
        <v>1</v>
      </c>
    </row>
    <row r="14" spans="1:9" x14ac:dyDescent="0.45">
      <c r="A14" s="54" t="s">
        <v>7</v>
      </c>
      <c r="B14" s="54"/>
    </row>
    <row r="16" spans="1:9" x14ac:dyDescent="0.45">
      <c r="A16" s="4" t="s">
        <v>8</v>
      </c>
      <c r="C16" s="19">
        <v>5</v>
      </c>
      <c r="D16" s="19"/>
      <c r="E16" s="19">
        <v>5</v>
      </c>
      <c r="F16" s="18"/>
      <c r="G16" s="19">
        <v>5</v>
      </c>
    </row>
    <row r="17" spans="1:7" x14ac:dyDescent="0.45">
      <c r="C17" s="1"/>
      <c r="D17" s="1"/>
      <c r="E17" s="1"/>
      <c r="F17" s="1"/>
      <c r="G17" s="1"/>
    </row>
    <row r="18" spans="1:7" x14ac:dyDescent="0.45">
      <c r="A18" s="4" t="s">
        <v>9</v>
      </c>
      <c r="C18" s="18">
        <v>5</v>
      </c>
      <c r="D18" s="18"/>
      <c r="E18" s="18">
        <v>5</v>
      </c>
      <c r="F18" s="18"/>
      <c r="G18" s="18">
        <v>5</v>
      </c>
    </row>
    <row r="19" spans="1:7" x14ac:dyDescent="0.45">
      <c r="A19" s="4"/>
      <c r="C19" s="18"/>
      <c r="D19" s="18"/>
      <c r="E19" s="18"/>
      <c r="F19" s="18"/>
      <c r="G19" s="18"/>
    </row>
    <row r="20" spans="1:7" x14ac:dyDescent="0.45">
      <c r="A20" s="4" t="s">
        <v>10</v>
      </c>
      <c r="C20" s="18">
        <f>MAX(0,C16-C18)</f>
        <v>0</v>
      </c>
      <c r="D20" s="18"/>
      <c r="E20" s="18">
        <f>MAX(0,E16-E18)</f>
        <v>0</v>
      </c>
      <c r="F20" s="18"/>
      <c r="G20" s="18">
        <f>MAX(0,G16-G18)</f>
        <v>0</v>
      </c>
    </row>
    <row r="21" spans="1:7" ht="13.5" customHeight="1" x14ac:dyDescent="0.45">
      <c r="A21" s="4"/>
      <c r="C21" s="18"/>
      <c r="D21" s="18"/>
      <c r="E21" s="18"/>
      <c r="F21" s="18"/>
      <c r="G21" s="18"/>
    </row>
    <row r="22" spans="1:7" x14ac:dyDescent="0.45">
      <c r="A22" s="4"/>
      <c r="C22" s="18"/>
      <c r="D22" s="18"/>
      <c r="E22" s="18"/>
      <c r="F22" s="18"/>
      <c r="G22" s="18"/>
    </row>
    <row r="23" spans="1:7" x14ac:dyDescent="0.45">
      <c r="A23" s="4"/>
      <c r="C23" s="18"/>
      <c r="D23" s="18"/>
      <c r="E23" s="18"/>
      <c r="F23" s="18"/>
      <c r="G23" s="18"/>
    </row>
    <row r="24" spans="1:7" x14ac:dyDescent="0.45">
      <c r="C24" s="19"/>
      <c r="D24" s="18"/>
      <c r="E24" s="19"/>
      <c r="F24" s="18"/>
      <c r="G24" s="19"/>
    </row>
    <row r="25" spans="1:7" x14ac:dyDescent="0.45">
      <c r="A25" s="17" t="s">
        <v>11</v>
      </c>
      <c r="C25" s="18">
        <f>IF(C$18&lt;C16,($B$10+$B$11)*C$18-$B$11*C16,$B$10*C16)</f>
        <v>20</v>
      </c>
      <c r="D25" s="18"/>
      <c r="E25" s="18">
        <f>IF(E$18&lt;E16,($B$10+$B$11)*E$18-$B$11*E16,$B$10*E16)</f>
        <v>20</v>
      </c>
      <c r="F25" s="18"/>
      <c r="G25" s="18">
        <f>IF(G$18&lt;G16,($B$10+$B$11)*G$18-$B$11*G16,$B$10*G16)</f>
        <v>20</v>
      </c>
    </row>
    <row r="26" spans="1:7" x14ac:dyDescent="0.45">
      <c r="A26" s="4"/>
      <c r="C26" s="18"/>
      <c r="D26" s="18"/>
      <c r="E26" s="18"/>
      <c r="F26" s="18"/>
      <c r="G26" s="18"/>
    </row>
    <row r="27" spans="1:7" x14ac:dyDescent="0.45">
      <c r="C27" s="53"/>
      <c r="D27" s="53"/>
      <c r="E27" s="53"/>
      <c r="F27" s="18"/>
      <c r="G27" s="18"/>
    </row>
    <row r="28" spans="1:7" x14ac:dyDescent="0.45">
      <c r="A28" s="4"/>
      <c r="C28" s="4"/>
      <c r="D28" s="4"/>
      <c r="E28" s="4"/>
      <c r="F28" s="4"/>
      <c r="G28" s="4"/>
    </row>
    <row r="29" spans="1:7" x14ac:dyDescent="0.45">
      <c r="A29" s="20" t="s">
        <v>12</v>
      </c>
      <c r="C29" s="53">
        <f t="shared" ref="C29" si="0">C25+E25+G25</f>
        <v>60</v>
      </c>
      <c r="D29" s="53"/>
      <c r="E29" s="53"/>
    </row>
  </sheetData>
  <mergeCells count="4">
    <mergeCell ref="A1:B1"/>
    <mergeCell ref="C27:E27"/>
    <mergeCell ref="A14:B14"/>
    <mergeCell ref="C29:E29"/>
  </mergeCells>
  <pageMargins left="0.70866141732283472" right="0.70866141732283472" top="0.78740157480314965" bottom="0.78740157480314965" header="0.31496062992125984" footer="0.31496062992125984"/>
  <pageSetup paperSize="9" scale="92" orientation="landscape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8B1D289-1489-477E-9479-F2BB271A2A3F}">
  <dimension ref="A1:I17"/>
  <sheetViews>
    <sheetView showGridLines="0" workbookViewId="0">
      <selection activeCell="E21" sqref="E21"/>
    </sheetView>
  </sheetViews>
  <sheetFormatPr baseColWidth="10" defaultColWidth="9.06640625" defaultRowHeight="14.25" x14ac:dyDescent="0.45"/>
  <cols>
    <col min="1" max="1" width="12.46484375" customWidth="1"/>
    <col min="2" max="2" width="13.6640625" customWidth="1"/>
    <col min="3" max="9" width="12" customWidth="1"/>
  </cols>
  <sheetData>
    <row r="1" spans="1:9" ht="21" x14ac:dyDescent="0.65">
      <c r="A1" s="55" t="s">
        <v>13</v>
      </c>
      <c r="B1" s="56"/>
      <c r="C1" s="56"/>
      <c r="D1" s="56"/>
    </row>
    <row r="3" spans="1:9" ht="18" x14ac:dyDescent="0.55000000000000004">
      <c r="A3" s="21" t="s">
        <v>14</v>
      </c>
      <c r="B3" s="4">
        <v>2</v>
      </c>
    </row>
    <row r="4" spans="1:9" ht="18" x14ac:dyDescent="0.55000000000000004">
      <c r="A4" s="21" t="s">
        <v>15</v>
      </c>
      <c r="B4" s="4">
        <v>4</v>
      </c>
    </row>
    <row r="8" spans="1:9" ht="21" x14ac:dyDescent="0.65">
      <c r="A8" s="57" t="s">
        <v>16</v>
      </c>
      <c r="B8" s="58"/>
      <c r="C8" s="59" t="s">
        <v>8</v>
      </c>
      <c r="D8" s="60"/>
      <c r="E8" s="60"/>
      <c r="F8" s="60"/>
      <c r="G8" s="60"/>
      <c r="H8" s="60"/>
      <c r="I8" s="61"/>
    </row>
    <row r="9" spans="1:9" ht="21" x14ac:dyDescent="0.65">
      <c r="A9" s="22" t="s">
        <v>17</v>
      </c>
      <c r="B9" s="23" t="s">
        <v>18</v>
      </c>
      <c r="C9" s="24">
        <v>4</v>
      </c>
      <c r="D9" s="25">
        <v>5</v>
      </c>
      <c r="E9" s="25">
        <v>6</v>
      </c>
      <c r="F9" s="25">
        <v>7</v>
      </c>
      <c r="G9" s="25">
        <v>8</v>
      </c>
      <c r="H9" s="25">
        <v>9</v>
      </c>
      <c r="I9" s="26">
        <v>10</v>
      </c>
    </row>
    <row r="10" spans="1:9" ht="21" x14ac:dyDescent="0.65">
      <c r="A10" s="27">
        <v>4</v>
      </c>
      <c r="B10" s="28">
        <v>0.05</v>
      </c>
      <c r="C10" s="28">
        <v>0</v>
      </c>
      <c r="D10" s="28">
        <v>4</v>
      </c>
      <c r="E10" s="28">
        <v>8</v>
      </c>
      <c r="F10" s="28">
        <v>12</v>
      </c>
      <c r="G10" s="28">
        <v>16</v>
      </c>
      <c r="H10" s="28">
        <v>20</v>
      </c>
      <c r="I10" s="28">
        <v>24</v>
      </c>
    </row>
    <row r="11" spans="1:9" ht="21" x14ac:dyDescent="0.65">
      <c r="A11" s="29">
        <v>5</v>
      </c>
      <c r="B11" s="30">
        <v>0.15</v>
      </c>
      <c r="C11" s="29">
        <v>2</v>
      </c>
      <c r="D11" s="30">
        <v>0</v>
      </c>
      <c r="E11" s="30">
        <v>4</v>
      </c>
      <c r="F11" s="30">
        <v>8</v>
      </c>
      <c r="G11" s="30">
        <v>12</v>
      </c>
      <c r="H11" s="30">
        <v>16</v>
      </c>
      <c r="I11" s="31">
        <v>20</v>
      </c>
    </row>
    <row r="12" spans="1:9" ht="21" x14ac:dyDescent="0.65">
      <c r="A12" s="29">
        <v>6</v>
      </c>
      <c r="B12" s="30">
        <v>0.15</v>
      </c>
      <c r="C12" s="29">
        <v>4</v>
      </c>
      <c r="D12" s="30">
        <v>2</v>
      </c>
      <c r="E12" s="30">
        <v>0</v>
      </c>
      <c r="F12" s="30">
        <v>4</v>
      </c>
      <c r="G12" s="30">
        <v>8</v>
      </c>
      <c r="H12" s="30">
        <v>12</v>
      </c>
      <c r="I12" s="31">
        <v>16</v>
      </c>
    </row>
    <row r="13" spans="1:9" ht="21" x14ac:dyDescent="0.65">
      <c r="A13" s="29">
        <v>7</v>
      </c>
      <c r="B13" s="30">
        <v>0.2</v>
      </c>
      <c r="C13" s="29">
        <v>6</v>
      </c>
      <c r="D13" s="30">
        <v>4</v>
      </c>
      <c r="E13" s="30">
        <v>2</v>
      </c>
      <c r="F13" s="30">
        <v>0</v>
      </c>
      <c r="G13" s="30">
        <v>4</v>
      </c>
      <c r="H13" s="30">
        <v>8</v>
      </c>
      <c r="I13" s="31">
        <v>12</v>
      </c>
    </row>
    <row r="14" spans="1:9" ht="21" x14ac:dyDescent="0.65">
      <c r="A14" s="29">
        <v>8</v>
      </c>
      <c r="B14" s="30">
        <v>0.25</v>
      </c>
      <c r="C14" s="29">
        <v>8</v>
      </c>
      <c r="D14" s="30">
        <v>6</v>
      </c>
      <c r="E14" s="30">
        <v>4</v>
      </c>
      <c r="F14" s="30">
        <v>2</v>
      </c>
      <c r="G14" s="30">
        <v>0</v>
      </c>
      <c r="H14" s="30">
        <v>4</v>
      </c>
      <c r="I14" s="31">
        <v>8</v>
      </c>
    </row>
    <row r="15" spans="1:9" ht="21" x14ac:dyDescent="0.65">
      <c r="A15" s="29">
        <v>9</v>
      </c>
      <c r="B15" s="30">
        <v>0.1</v>
      </c>
      <c r="C15" s="29">
        <v>10</v>
      </c>
      <c r="D15" s="30">
        <v>8</v>
      </c>
      <c r="E15" s="30">
        <v>6</v>
      </c>
      <c r="F15" s="30">
        <v>4</v>
      </c>
      <c r="G15" s="30">
        <v>2</v>
      </c>
      <c r="H15" s="30">
        <v>0</v>
      </c>
      <c r="I15" s="31">
        <v>4</v>
      </c>
    </row>
    <row r="16" spans="1:9" ht="21" x14ac:dyDescent="0.65">
      <c r="A16" s="32">
        <v>10</v>
      </c>
      <c r="B16" s="33">
        <v>0.1</v>
      </c>
      <c r="C16" s="29">
        <v>12</v>
      </c>
      <c r="D16" s="30">
        <v>10</v>
      </c>
      <c r="E16" s="30">
        <v>8</v>
      </c>
      <c r="F16" s="30">
        <v>6</v>
      </c>
      <c r="G16" s="30">
        <v>4</v>
      </c>
      <c r="H16" s="30">
        <v>2</v>
      </c>
      <c r="I16" s="31">
        <v>0</v>
      </c>
    </row>
    <row r="17" spans="1:9" ht="21" x14ac:dyDescent="0.65">
      <c r="A17" s="32"/>
      <c r="B17" s="33" t="s">
        <v>19</v>
      </c>
      <c r="C17" s="34">
        <f>C10*$B$10+C11*$B$11+C12*$B$12+C13*$B$13+C14*$B$14+C15*$B$15+C16*$B$16</f>
        <v>6.3</v>
      </c>
      <c r="D17" s="35">
        <f t="shared" ref="D17:I17" si="0">D10*$B$10+D11*$B$11+D12*$B$12+D13*$B$13+D14*$B$14+D15*$B$15+D16*$B$16</f>
        <v>4.5999999999999996</v>
      </c>
      <c r="E17" s="35">
        <f t="shared" si="0"/>
        <v>3.8</v>
      </c>
      <c r="F17" s="35">
        <f t="shared" si="0"/>
        <v>3.9</v>
      </c>
      <c r="G17" s="35">
        <f t="shared" si="0"/>
        <v>5.2</v>
      </c>
      <c r="H17" s="35">
        <f t="shared" si="0"/>
        <v>7.9999999999999991</v>
      </c>
      <c r="I17" s="36">
        <f t="shared" si="0"/>
        <v>11.4</v>
      </c>
    </row>
  </sheetData>
  <mergeCells count="3">
    <mergeCell ref="A1:D1"/>
    <mergeCell ref="A8:B8"/>
    <mergeCell ref="C8:I8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5FE7D3F-677A-4347-B8E3-48FCB5313323}">
  <dimension ref="A1:D25"/>
  <sheetViews>
    <sheetView showGridLines="0" topLeftCell="A5" workbookViewId="0">
      <selection activeCell="F22" sqref="F22"/>
    </sheetView>
  </sheetViews>
  <sheetFormatPr baseColWidth="10" defaultColWidth="9.06640625" defaultRowHeight="14.25" x14ac:dyDescent="0.45"/>
  <cols>
    <col min="2" max="2" width="12.19921875" bestFit="1" customWidth="1"/>
  </cols>
  <sheetData>
    <row r="1" spans="1:4" ht="21" x14ac:dyDescent="0.75">
      <c r="A1" s="37" t="s">
        <v>20</v>
      </c>
      <c r="B1" s="38" t="s">
        <v>21</v>
      </c>
      <c r="C1" s="38" t="s">
        <v>22</v>
      </c>
      <c r="D1" s="39" t="s">
        <v>23</v>
      </c>
    </row>
    <row r="2" spans="1:4" ht="15.75" x14ac:dyDescent="0.5">
      <c r="A2" s="40">
        <v>0</v>
      </c>
      <c r="B2" s="41">
        <v>1</v>
      </c>
      <c r="C2" s="41">
        <v>1.9E-2</v>
      </c>
      <c r="D2" s="42">
        <v>1.9E-2</v>
      </c>
    </row>
    <row r="3" spans="1:4" ht="15.75" x14ac:dyDescent="0.5">
      <c r="A3" s="43">
        <v>1</v>
      </c>
      <c r="B3" s="44">
        <v>0</v>
      </c>
      <c r="C3" s="44">
        <v>0</v>
      </c>
      <c r="D3" s="45">
        <v>1.9E-2</v>
      </c>
    </row>
    <row r="4" spans="1:4" ht="15.75" x14ac:dyDescent="0.5">
      <c r="A4" s="43">
        <v>2</v>
      </c>
      <c r="B4" s="44">
        <v>0</v>
      </c>
      <c r="C4" s="44">
        <v>0</v>
      </c>
      <c r="D4" s="45">
        <v>1.9E-2</v>
      </c>
    </row>
    <row r="5" spans="1:4" ht="15.75" x14ac:dyDescent="0.5">
      <c r="A5" s="43">
        <v>3</v>
      </c>
      <c r="B5" s="44">
        <v>0</v>
      </c>
      <c r="C5" s="44">
        <v>0</v>
      </c>
      <c r="D5" s="45">
        <v>1.9E-2</v>
      </c>
    </row>
    <row r="6" spans="1:4" ht="15.75" x14ac:dyDescent="0.5">
      <c r="A6" s="43">
        <v>4</v>
      </c>
      <c r="B6" s="44">
        <v>3</v>
      </c>
      <c r="C6" s="44">
        <v>5.8000000000000003E-2</v>
      </c>
      <c r="D6" s="45">
        <v>7.6999999999999999E-2</v>
      </c>
    </row>
    <row r="7" spans="1:4" ht="15.75" x14ac:dyDescent="0.5">
      <c r="A7" s="43">
        <v>5</v>
      </c>
      <c r="B7" s="44">
        <v>1</v>
      </c>
      <c r="C7" s="44">
        <v>1.9E-2</v>
      </c>
      <c r="D7" s="45">
        <v>9.6000000000000002E-2</v>
      </c>
    </row>
    <row r="8" spans="1:4" ht="15.75" x14ac:dyDescent="0.5">
      <c r="A8" s="43">
        <v>6</v>
      </c>
      <c r="B8" s="44">
        <v>2</v>
      </c>
      <c r="C8" s="44">
        <v>3.7999999999999999E-2</v>
      </c>
      <c r="D8" s="45">
        <v>0.13500000000000001</v>
      </c>
    </row>
    <row r="9" spans="1:4" ht="15.75" x14ac:dyDescent="0.5">
      <c r="A9" s="43">
        <v>7</v>
      </c>
      <c r="B9" s="44">
        <v>2</v>
      </c>
      <c r="C9" s="44">
        <v>3.7999999999999999E-2</v>
      </c>
      <c r="D9" s="45">
        <v>0.17299999999999999</v>
      </c>
    </row>
    <row r="10" spans="1:4" ht="15.75" x14ac:dyDescent="0.5">
      <c r="A10" s="43">
        <v>8</v>
      </c>
      <c r="B10" s="44">
        <v>4</v>
      </c>
      <c r="C10" s="44">
        <v>7.6999999999999999E-2</v>
      </c>
      <c r="D10" s="45">
        <v>0.25</v>
      </c>
    </row>
    <row r="11" spans="1:4" ht="15.75" x14ac:dyDescent="0.5">
      <c r="A11" s="43">
        <v>9</v>
      </c>
      <c r="B11" s="44">
        <v>6</v>
      </c>
      <c r="C11" s="44">
        <v>0.115</v>
      </c>
      <c r="D11" s="45">
        <v>0.36499999999999999</v>
      </c>
    </row>
    <row r="12" spans="1:4" ht="15.75" x14ac:dyDescent="0.5">
      <c r="A12" s="43">
        <v>10</v>
      </c>
      <c r="B12" s="44">
        <v>2</v>
      </c>
      <c r="C12" s="44">
        <v>3.7999999999999999E-2</v>
      </c>
      <c r="D12" s="45">
        <v>0.40400000000000003</v>
      </c>
    </row>
    <row r="13" spans="1:4" ht="15.75" x14ac:dyDescent="0.5">
      <c r="A13" s="43">
        <v>11</v>
      </c>
      <c r="B13" s="44">
        <v>5</v>
      </c>
      <c r="C13" s="44">
        <v>9.6000000000000002E-2</v>
      </c>
      <c r="D13" s="45">
        <v>0.5</v>
      </c>
    </row>
    <row r="14" spans="1:4" ht="15.75" x14ac:dyDescent="0.5">
      <c r="A14" s="43">
        <v>12</v>
      </c>
      <c r="B14" s="44">
        <v>4</v>
      </c>
      <c r="C14" s="44">
        <v>7.6999999999999999E-2</v>
      </c>
      <c r="D14" s="45">
        <v>0.57699999999999996</v>
      </c>
    </row>
    <row r="15" spans="1:4" ht="15.75" x14ac:dyDescent="0.5">
      <c r="A15" s="43">
        <v>13</v>
      </c>
      <c r="B15" s="44">
        <v>1</v>
      </c>
      <c r="C15" s="44">
        <v>1.9E-2</v>
      </c>
      <c r="D15" s="45">
        <v>0.59599999999999997</v>
      </c>
    </row>
    <row r="16" spans="1:4" ht="15.75" x14ac:dyDescent="0.5">
      <c r="A16" s="43">
        <v>14</v>
      </c>
      <c r="B16" s="44">
        <v>5</v>
      </c>
      <c r="C16" s="44">
        <v>9.6000000000000002E-2</v>
      </c>
      <c r="D16" s="45">
        <v>0.69199999999999995</v>
      </c>
    </row>
    <row r="17" spans="1:4" ht="15.75" x14ac:dyDescent="0.5">
      <c r="A17" s="43">
        <v>15</v>
      </c>
      <c r="B17" s="44">
        <v>5</v>
      </c>
      <c r="C17" s="44">
        <v>9.6000000000000002E-2</v>
      </c>
      <c r="D17" s="45">
        <v>0.78800000000000003</v>
      </c>
    </row>
    <row r="18" spans="1:4" ht="15.75" x14ac:dyDescent="0.5">
      <c r="A18" s="43">
        <v>16</v>
      </c>
      <c r="B18" s="44">
        <v>1</v>
      </c>
      <c r="C18" s="44">
        <v>1.9E-2</v>
      </c>
      <c r="D18" s="45">
        <v>0.80800000000000005</v>
      </c>
    </row>
    <row r="19" spans="1:4" ht="15.75" x14ac:dyDescent="0.5">
      <c r="A19" s="43">
        <v>17</v>
      </c>
      <c r="B19" s="44">
        <v>3</v>
      </c>
      <c r="C19" s="44">
        <v>5.8000000000000003E-2</v>
      </c>
      <c r="D19" s="45">
        <v>0.86499999999999999</v>
      </c>
    </row>
    <row r="20" spans="1:4" ht="15.75" x14ac:dyDescent="0.5">
      <c r="A20" s="43">
        <v>18</v>
      </c>
      <c r="B20" s="44">
        <v>3</v>
      </c>
      <c r="C20" s="44">
        <v>5.8000000000000003E-2</v>
      </c>
      <c r="D20" s="45">
        <v>0.92300000000000004</v>
      </c>
    </row>
    <row r="21" spans="1:4" ht="15.75" x14ac:dyDescent="0.5">
      <c r="A21" s="43">
        <v>19</v>
      </c>
      <c r="B21" s="44">
        <v>3</v>
      </c>
      <c r="C21" s="44">
        <v>5.8000000000000003E-2</v>
      </c>
      <c r="D21" s="45">
        <v>0.98099999999999998</v>
      </c>
    </row>
    <row r="22" spans="1:4" ht="15.75" x14ac:dyDescent="0.5">
      <c r="A22" s="43">
        <v>20</v>
      </c>
      <c r="B22" s="44">
        <v>0</v>
      </c>
      <c r="C22" s="44">
        <v>0</v>
      </c>
      <c r="D22" s="45">
        <v>0.98099999999999998</v>
      </c>
    </row>
    <row r="23" spans="1:4" ht="15.75" x14ac:dyDescent="0.5">
      <c r="A23" s="43">
        <v>21</v>
      </c>
      <c r="B23" s="44">
        <v>0</v>
      </c>
      <c r="C23" s="44">
        <v>0</v>
      </c>
      <c r="D23" s="45">
        <v>0.98099999999999998</v>
      </c>
    </row>
    <row r="24" spans="1:4" ht="15.75" x14ac:dyDescent="0.5">
      <c r="A24" s="46">
        <v>22</v>
      </c>
      <c r="B24" s="47">
        <v>1</v>
      </c>
      <c r="C24" s="47">
        <v>1.9E-2</v>
      </c>
      <c r="D24" s="48">
        <v>1</v>
      </c>
    </row>
    <row r="25" spans="1:4" ht="15.75" x14ac:dyDescent="0.5">
      <c r="A25" s="49" t="s">
        <v>24</v>
      </c>
      <c r="B25" s="50">
        <v>52</v>
      </c>
      <c r="C25" s="50"/>
      <c r="D25" s="51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 xmlns:vt="http://schemas.openxmlformats.org/officeDocument/2006/docPropsVTypes">
  <TotalTime>0</TotalTime>
  <Application>Microsoft Excel</Application>
  <DocSecurity>0</DocSecurity>
  <ScaleCrop>false</ScaleCrop>
  <HeadingPairs>
    <vt:vector size="2" baseType="variant">
      <vt:variant>
        <vt:lpstr>Arbeitsblätter</vt:lpstr>
      </vt:variant>
      <vt:variant>
        <vt:i4>3</vt:i4>
      </vt:variant>
    </vt:vector>
  </HeadingPairs>
  <TitlesOfParts>
    <vt:vector size="3" baseType="lpstr">
      <vt:lpstr>Experiment_Phase3</vt:lpstr>
      <vt:lpstr>Cafe_Donut_all</vt:lpstr>
      <vt:lpstr>HXL_Nachfrageverteilung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Prof. Heinrich Kuhn</dc:creator>
  <cp:lastModifiedBy>Manuel Ostermeier</cp:lastModifiedBy>
  <cp:lastPrinted>2023-12-04T17:41:48Z</cp:lastPrinted>
  <dcterms:created xsi:type="dcterms:W3CDTF">2020-12-13T16:33:46Z</dcterms:created>
  <dcterms:modified xsi:type="dcterms:W3CDTF">2026-01-14T19:14:38Z</dcterms:modified>
</cp:coreProperties>
</file>