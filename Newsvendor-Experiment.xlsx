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ugsburg-my.sharepoint.com/personal/manuel_ostermeier_uni-a_de/Documents/Privat/Bewerbungen/Uni_Halle/Vorträge/"/>
    </mc:Choice>
  </mc:AlternateContent>
  <xr:revisionPtr revIDLastSave="201" documentId="13_ncr:1_{1F48C01A-987D-48E3-B4DF-2854904FD622}" xr6:coauthVersionLast="47" xr6:coauthVersionMax="47" xr10:uidLastSave="{35920DAF-BA31-4806-B32A-3B5C17E9DD8D}"/>
  <bookViews>
    <workbookView xWindow="68925" yWindow="60" windowWidth="25920" windowHeight="20865" activeTab="1" xr2:uid="{8490625F-534F-41F7-A0AD-B9E4D1427142}"/>
  </bookViews>
  <sheets>
    <sheet name="Phase3" sheetId="1" r:id="rId1"/>
    <sheet name="Verglei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1" l="1"/>
  <c r="E20" i="1"/>
  <c r="C20" i="1"/>
  <c r="J21" i="2"/>
  <c r="I21" i="2"/>
  <c r="H21" i="2"/>
  <c r="F21" i="2"/>
  <c r="B11" i="2"/>
  <c r="B10" i="2"/>
  <c r="I9" i="2"/>
  <c r="K21" i="2" l="1"/>
  <c r="B11" i="1"/>
  <c r="B10" i="1"/>
  <c r="G25" i="1" l="1"/>
  <c r="E25" i="1"/>
  <c r="C25" i="1"/>
  <c r="C29" i="1" l="1"/>
</calcChain>
</file>

<file path=xl/sharedStrings.xml><?xml version="1.0" encoding="utf-8"?>
<sst xmlns="http://schemas.openxmlformats.org/spreadsheetml/2006/main" count="42" uniqueCount="26">
  <si>
    <t>Typ 1</t>
  </si>
  <si>
    <t>Typ 3</t>
  </si>
  <si>
    <t>Typ  2</t>
  </si>
  <si>
    <t>Summe</t>
  </si>
  <si>
    <t>Bestellmenge q(i)</t>
  </si>
  <si>
    <t>Nachfrage d(i)</t>
  </si>
  <si>
    <t xml:space="preserve">Gewinn (i) </t>
  </si>
  <si>
    <t>Teilnehmer</t>
  </si>
  <si>
    <t>Newsboy - Experiment</t>
  </si>
  <si>
    <t>Gewinn je verkaufter Einheit</t>
  </si>
  <si>
    <t>Einkauspreis je St.</t>
  </si>
  <si>
    <t>Verkausfpreis je St.</t>
  </si>
  <si>
    <t>Resterlös je St.</t>
  </si>
  <si>
    <t>Verlust je nicht verkaufter Einheit</t>
  </si>
  <si>
    <t>Nordbräu</t>
  </si>
  <si>
    <t>Desperados</t>
  </si>
  <si>
    <t xml:space="preserve">India Pale Ale (I.P.A.) </t>
  </si>
  <si>
    <t xml:space="preserve">Best Case </t>
  </si>
  <si>
    <t>Daten</t>
  </si>
  <si>
    <t>Nachfrage</t>
  </si>
  <si>
    <t>Phase 3: Bestimmung des Gewinns</t>
  </si>
  <si>
    <t>Bestellmenge</t>
  </si>
  <si>
    <t>Nachfrage Realisierung d</t>
  </si>
  <si>
    <t>Restbestand</t>
  </si>
  <si>
    <t>Gewinnermittlung</t>
  </si>
  <si>
    <t>Mein Gesamtgewinn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</si>
</sst>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/>
    </xf>
    <xf numFmtId="0" fontId="1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/>
    <xf numFmtId="0" fontId="0" fillId="0" borderId="5" xfId="0" applyBorder="1" applyAlignment="1">
      <alignment horizontal="center"/>
    </xf>
    <xf numFmtId="0" fontId="0" fillId="3" borderId="5" xfId="0" applyFill="1" applyBorder="1"/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/>
    <xf numFmtId="0" fontId="0" fillId="2" borderId="0" xfId="0" applyFill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5" xfId="0" applyFill="1" applyBorder="1"/>
    <xf numFmtId="0" fontId="0" fillId="4" borderId="0" xfId="0" applyFill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0" fontId="0" fillId="7" borderId="8" xfId="0" applyFill="1" applyBorder="1"/>
    <xf numFmtId="2" fontId="0" fillId="0" borderId="9" xfId="0" applyNumberFormat="1" applyBorder="1" applyAlignment="1">
      <alignment horizontal="center" vertical="center"/>
    </xf>
    <xf numFmtId="0" fontId="0" fillId="7" borderId="10" xfId="0" applyFill="1" applyBorder="1"/>
    <xf numFmtId="2" fontId="0" fillId="0" borderId="5" xfId="0" applyNumberFormat="1" applyBorder="1" applyAlignment="1">
      <alignment horizontal="center" vertical="center"/>
    </xf>
    <xf numFmtId="0" fontId="0" fillId="7" borderId="11" xfId="0" applyFill="1" applyBorder="1"/>
    <xf numFmtId="2" fontId="0" fillId="0" borderId="6" xfId="0" applyNumberFormat="1" applyBorder="1" applyAlignment="1">
      <alignment horizontal="center" vertical="center"/>
    </xf>
    <xf numFmtId="0" fontId="1" fillId="7" borderId="10" xfId="0" applyFont="1" applyFill="1" applyBorder="1"/>
    <xf numFmtId="2" fontId="1" fillId="0" borderId="5" xfId="0" applyNumberFormat="1" applyFont="1" applyBorder="1" applyAlignment="1">
      <alignment horizontal="center"/>
    </xf>
    <xf numFmtId="0" fontId="1" fillId="7" borderId="11" xfId="0" applyFont="1" applyFill="1" applyBorder="1"/>
    <xf numFmtId="2" fontId="1" fillId="0" borderId="6" xfId="0" applyNumberFormat="1" applyFont="1" applyBorder="1" applyAlignment="1">
      <alignment horizontal="center"/>
    </xf>
    <xf numFmtId="0" fontId="4" fillId="6" borderId="7" xfId="0" applyFont="1" applyFill="1" applyBorder="1"/>
    <xf numFmtId="0" fontId="3" fillId="5" borderId="0" xfId="0" applyFont="1" applyFill="1" applyAlignment="1">
      <alignment horizontal="center"/>
    </xf>
    <xf numFmtId="0" fontId="3" fillId="8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9" borderId="0" xfId="0" applyFont="1" applyFill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8B4E0-7CD1-4BB3-A7ED-047A84227F9F}">
  <sheetPr>
    <pageSetUpPr fitToPage="1"/>
  </sheetPr>
  <dimension ref="A1:I29"/>
  <sheetViews>
    <sheetView showGridLines="0" zoomScale="139" zoomScaleNormal="139" workbookViewId="0">
      <selection activeCell="D10" sqref="D10"/>
    </sheetView>
  </sheetViews>
  <sheetFormatPr baseColWidth="10" defaultRowHeight="14.25" x14ac:dyDescent="0.45"/>
  <cols>
    <col min="1" max="1" width="28.33203125" bestFit="1" customWidth="1"/>
    <col min="2" max="2" width="14.3984375" customWidth="1"/>
    <col min="3" max="3" width="8.3984375" customWidth="1"/>
    <col min="4" max="4" width="3.59765625" customWidth="1"/>
    <col min="5" max="5" width="8.3984375" customWidth="1"/>
    <col min="6" max="6" width="3.59765625" customWidth="1"/>
    <col min="7" max="7" width="8.53125" customWidth="1"/>
  </cols>
  <sheetData>
    <row r="1" spans="1:9" ht="23.25" x14ac:dyDescent="0.7">
      <c r="A1" s="34" t="s">
        <v>8</v>
      </c>
      <c r="B1" s="34"/>
    </row>
    <row r="2" spans="1:9" x14ac:dyDescent="0.45">
      <c r="A2" s="7"/>
      <c r="B2" s="7"/>
    </row>
    <row r="6" spans="1:9" x14ac:dyDescent="0.45">
      <c r="A6" s="45" t="s">
        <v>18</v>
      </c>
    </row>
    <row r="7" spans="1:9" x14ac:dyDescent="0.45">
      <c r="A7" s="35" t="s">
        <v>10</v>
      </c>
      <c r="B7" s="36">
        <v>1.5</v>
      </c>
      <c r="E7" s="7"/>
      <c r="F7" s="56"/>
      <c r="G7" s="56"/>
      <c r="H7" s="56"/>
    </row>
    <row r="8" spans="1:9" x14ac:dyDescent="0.45">
      <c r="A8" s="37" t="s">
        <v>11</v>
      </c>
      <c r="B8" s="38">
        <v>5.5</v>
      </c>
      <c r="F8" s="57"/>
      <c r="G8" s="57"/>
      <c r="H8" s="57"/>
      <c r="I8" s="2"/>
    </row>
    <row r="9" spans="1:9" x14ac:dyDescent="0.45">
      <c r="A9" s="39" t="s">
        <v>12</v>
      </c>
      <c r="B9" s="40">
        <v>0.5</v>
      </c>
      <c r="E9" s="6"/>
      <c r="F9" s="58"/>
      <c r="G9" s="58"/>
      <c r="H9" s="58"/>
      <c r="I9" s="1"/>
    </row>
    <row r="10" spans="1:9" x14ac:dyDescent="0.45">
      <c r="A10" s="41" t="s">
        <v>9</v>
      </c>
      <c r="B10" s="42">
        <f>B8-B7</f>
        <v>4</v>
      </c>
      <c r="F10" s="59"/>
      <c r="G10" s="59"/>
      <c r="H10" s="59"/>
    </row>
    <row r="11" spans="1:9" x14ac:dyDescent="0.45">
      <c r="A11" s="43" t="s">
        <v>13</v>
      </c>
      <c r="B11" s="44">
        <f>B7-B9</f>
        <v>1</v>
      </c>
    </row>
    <row r="14" spans="1:9" x14ac:dyDescent="0.45">
      <c r="A14" s="46" t="s">
        <v>20</v>
      </c>
      <c r="B14" s="46"/>
    </row>
    <row r="16" spans="1:9" x14ac:dyDescent="0.45">
      <c r="A16" s="7" t="s">
        <v>21</v>
      </c>
      <c r="C16" s="49">
        <v>0</v>
      </c>
      <c r="D16" s="49"/>
      <c r="E16" s="49">
        <v>0</v>
      </c>
      <c r="F16" s="50"/>
      <c r="G16" s="49">
        <v>0</v>
      </c>
    </row>
    <row r="17" spans="1:7" x14ac:dyDescent="0.45">
      <c r="C17" s="51"/>
      <c r="D17" s="51"/>
      <c r="E17" s="51"/>
      <c r="F17" s="51"/>
      <c r="G17" s="51"/>
    </row>
    <row r="18" spans="1:7" x14ac:dyDescent="0.45">
      <c r="A18" s="7" t="s">
        <v>22</v>
      </c>
      <c r="C18" s="52">
        <v>10</v>
      </c>
      <c r="D18" s="52"/>
      <c r="E18" s="52">
        <v>15</v>
      </c>
      <c r="F18" s="52"/>
      <c r="G18" s="52">
        <v>5</v>
      </c>
    </row>
    <row r="19" spans="1:7" x14ac:dyDescent="0.45">
      <c r="A19" s="7"/>
      <c r="C19" s="52"/>
      <c r="D19" s="52"/>
      <c r="E19" s="52"/>
      <c r="F19" s="52"/>
      <c r="G19" s="52"/>
    </row>
    <row r="20" spans="1:7" x14ac:dyDescent="0.45">
      <c r="A20" s="7" t="s">
        <v>23</v>
      </c>
      <c r="C20" s="52">
        <f>MAX(0,C16-C18)</f>
        <v>0</v>
      </c>
      <c r="D20" s="52"/>
      <c r="E20" s="52">
        <f>MAX(0,E16-E18)</f>
        <v>0</v>
      </c>
      <c r="F20" s="52"/>
      <c r="G20" s="52">
        <f>MAX(0,G16-G18)</f>
        <v>0</v>
      </c>
    </row>
    <row r="21" spans="1:7" ht="13.5" customHeight="1" x14ac:dyDescent="0.45">
      <c r="A21" s="7"/>
      <c r="C21" s="52"/>
      <c r="D21" s="52"/>
      <c r="E21" s="52"/>
      <c r="F21" s="52"/>
      <c r="G21" s="52"/>
    </row>
    <row r="22" spans="1:7" x14ac:dyDescent="0.45">
      <c r="A22" s="7"/>
      <c r="C22" s="52"/>
      <c r="D22" s="52"/>
      <c r="E22" s="52"/>
      <c r="F22" s="52"/>
      <c r="G22" s="52"/>
    </row>
    <row r="23" spans="1:7" x14ac:dyDescent="0.45">
      <c r="A23" s="7"/>
      <c r="C23" s="52"/>
      <c r="D23" s="52"/>
      <c r="E23" s="52"/>
      <c r="F23" s="52"/>
      <c r="G23" s="52"/>
    </row>
    <row r="24" spans="1:7" x14ac:dyDescent="0.45">
      <c r="C24" s="53"/>
      <c r="D24" s="52"/>
      <c r="E24" s="53"/>
      <c r="F24" s="52"/>
      <c r="G24" s="53"/>
    </row>
    <row r="25" spans="1:7" x14ac:dyDescent="0.45">
      <c r="A25" s="47" t="s">
        <v>24</v>
      </c>
      <c r="C25" s="52">
        <f>IF(C$18&lt;C16,($B$10+$B$11)*C$18-$B$11*C16,$B$10*C16)</f>
        <v>0</v>
      </c>
      <c r="D25" s="52"/>
      <c r="E25" s="52">
        <f>IF(E$18&lt;E16,($B$10+$B$11)*E$18-$B$11*E16,$B$10*E16)</f>
        <v>0</v>
      </c>
      <c r="F25" s="52"/>
      <c r="G25" s="52">
        <f>IF(G$18&lt;G16,($B$10+$B$11)*G$18-$B$11*G16,$B$10*G16)</f>
        <v>0</v>
      </c>
    </row>
    <row r="26" spans="1:7" x14ac:dyDescent="0.45">
      <c r="A26" s="7"/>
      <c r="C26" s="52"/>
      <c r="D26" s="52"/>
      <c r="E26" s="52"/>
      <c r="F26" s="52"/>
      <c r="G26" s="52"/>
    </row>
    <row r="27" spans="1:7" x14ac:dyDescent="0.45">
      <c r="C27" s="54"/>
      <c r="D27" s="54"/>
      <c r="E27" s="54"/>
      <c r="F27" s="52"/>
      <c r="G27" s="52"/>
    </row>
    <row r="28" spans="1:7" x14ac:dyDescent="0.45">
      <c r="A28" s="7"/>
      <c r="C28" s="7"/>
      <c r="D28" s="7"/>
      <c r="E28" s="7"/>
      <c r="F28" s="7"/>
      <c r="G28" s="7"/>
    </row>
    <row r="29" spans="1:7" x14ac:dyDescent="0.45">
      <c r="A29" s="55" t="s">
        <v>25</v>
      </c>
      <c r="C29" s="48">
        <f t="shared" ref="C29:E29" si="0">C25+E25+G25</f>
        <v>0</v>
      </c>
      <c r="D29" s="48"/>
      <c r="E29" s="48"/>
    </row>
  </sheetData>
  <mergeCells count="4">
    <mergeCell ref="A1:B1"/>
    <mergeCell ref="C27:E27"/>
    <mergeCell ref="A14:B14"/>
    <mergeCell ref="C29:E29"/>
  </mergeCells>
  <pageMargins left="0.70866141732283472" right="0.70866141732283472" top="0.78740157480314965" bottom="0.78740157480314965" header="0.31496062992125984" footer="0.31496062992125984"/>
  <pageSetup paperSize="9" scale="9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1257-7016-4AEE-B09B-87D409DA4477}">
  <sheetPr>
    <pageSetUpPr fitToPage="1"/>
  </sheetPr>
  <dimension ref="A1:K33"/>
  <sheetViews>
    <sheetView showGridLines="0" tabSelected="1" zoomScale="139" zoomScaleNormal="139" workbookViewId="0">
      <selection activeCell="B19" sqref="B19"/>
    </sheetView>
  </sheetViews>
  <sheetFormatPr baseColWidth="10" defaultRowHeight="14.25" x14ac:dyDescent="0.45"/>
  <cols>
    <col min="1" max="1" width="28.33203125" bestFit="1" customWidth="1"/>
    <col min="2" max="2" width="14.3984375" customWidth="1"/>
    <col min="7" max="7" width="4.3984375" customWidth="1"/>
  </cols>
  <sheetData>
    <row r="1" spans="1:9" ht="23.25" x14ac:dyDescent="0.7">
      <c r="A1" s="34" t="s">
        <v>8</v>
      </c>
      <c r="B1" s="34"/>
    </row>
    <row r="2" spans="1:9" x14ac:dyDescent="0.45">
      <c r="A2" s="7"/>
      <c r="B2" s="7"/>
    </row>
    <row r="6" spans="1:9" x14ac:dyDescent="0.45">
      <c r="A6" s="45" t="s">
        <v>18</v>
      </c>
      <c r="D6" t="s">
        <v>19</v>
      </c>
    </row>
    <row r="7" spans="1:9" x14ac:dyDescent="0.45">
      <c r="A7" s="35" t="s">
        <v>10</v>
      </c>
      <c r="B7" s="36">
        <v>1.5</v>
      </c>
      <c r="E7" s="7"/>
      <c r="F7" s="17" t="s">
        <v>14</v>
      </c>
      <c r="G7" s="17" t="s">
        <v>15</v>
      </c>
      <c r="H7" s="17" t="s">
        <v>16</v>
      </c>
    </row>
    <row r="8" spans="1:9" x14ac:dyDescent="0.45">
      <c r="A8" s="37" t="s">
        <v>11</v>
      </c>
      <c r="B8" s="38">
        <v>5.5</v>
      </c>
      <c r="F8" s="1" t="s">
        <v>0</v>
      </c>
      <c r="G8" s="1" t="s">
        <v>2</v>
      </c>
      <c r="H8" s="1" t="s">
        <v>1</v>
      </c>
      <c r="I8" s="2" t="s">
        <v>3</v>
      </c>
    </row>
    <row r="9" spans="1:9" x14ac:dyDescent="0.45">
      <c r="A9" s="39" t="s">
        <v>12</v>
      </c>
      <c r="B9" s="40">
        <v>0.5</v>
      </c>
      <c r="E9" s="6" t="s">
        <v>5</v>
      </c>
      <c r="F9" s="14">
        <v>5</v>
      </c>
      <c r="G9" s="15">
        <v>6</v>
      </c>
      <c r="H9" s="16">
        <v>1</v>
      </c>
      <c r="I9" s="1">
        <f>SUM(F9:H9)</f>
        <v>12</v>
      </c>
    </row>
    <row r="10" spans="1:9" x14ac:dyDescent="0.45">
      <c r="A10" s="41" t="s">
        <v>9</v>
      </c>
      <c r="B10" s="42">
        <f>B8-B7</f>
        <v>4</v>
      </c>
    </row>
    <row r="11" spans="1:9" x14ac:dyDescent="0.45">
      <c r="A11" s="43" t="s">
        <v>13</v>
      </c>
      <c r="B11" s="44">
        <f>B7-B9</f>
        <v>1</v>
      </c>
    </row>
    <row r="18" spans="1:11" x14ac:dyDescent="0.45">
      <c r="B18" s="6"/>
      <c r="C18" s="1"/>
      <c r="D18" s="1"/>
      <c r="E18" s="1"/>
      <c r="F18" s="1"/>
    </row>
    <row r="19" spans="1:11" x14ac:dyDescent="0.45">
      <c r="B19" s="8"/>
      <c r="C19" s="7" t="s">
        <v>4</v>
      </c>
      <c r="G19" s="8"/>
      <c r="H19" s="7" t="s">
        <v>6</v>
      </c>
    </row>
    <row r="20" spans="1:11" x14ac:dyDescent="0.45">
      <c r="A20" s="5" t="s">
        <v>7</v>
      </c>
      <c r="B20" s="12" t="s">
        <v>7</v>
      </c>
      <c r="C20" s="3" t="s">
        <v>0</v>
      </c>
      <c r="D20" s="3" t="s">
        <v>2</v>
      </c>
      <c r="E20" s="10" t="s">
        <v>1</v>
      </c>
      <c r="F20" s="3" t="s">
        <v>3</v>
      </c>
      <c r="G20" s="9"/>
      <c r="H20" s="4" t="s">
        <v>0</v>
      </c>
      <c r="I20" s="4" t="s">
        <v>2</v>
      </c>
      <c r="J20" s="13" t="s">
        <v>1</v>
      </c>
      <c r="K20" s="3" t="s">
        <v>3</v>
      </c>
    </row>
    <row r="21" spans="1:11" ht="13.5" customHeight="1" x14ac:dyDescent="0.45">
      <c r="A21" s="1"/>
      <c r="B21" s="19" t="s">
        <v>17</v>
      </c>
      <c r="C21" s="20">
        <v>5</v>
      </c>
      <c r="D21" s="20">
        <v>6</v>
      </c>
      <c r="E21" s="21">
        <v>1</v>
      </c>
      <c r="F21" s="20">
        <f t="shared" ref="F21:F25" si="0">SUM(C21:E21)</f>
        <v>12</v>
      </c>
      <c r="G21" s="19"/>
      <c r="H21" s="20">
        <f>IF(F$9&lt;C21,($B$10+$B$11)*F$9-$B$11*C21,$B$10*C21)</f>
        <v>20</v>
      </c>
      <c r="I21" s="20">
        <f>IF(G$9&lt;D21,($B$10+$B$11)*G$9-$B$11*D21,$B$10*D21)</f>
        <v>24</v>
      </c>
      <c r="J21" s="22">
        <f>IF(H$9&lt;E21,($B$10+$B$11)*H$9-$B$11*E21,$B$10*E21)</f>
        <v>4</v>
      </c>
      <c r="K21" s="23">
        <f t="shared" ref="K21:K25" si="1">SUM(H21:J21)</f>
        <v>48</v>
      </c>
    </row>
    <row r="22" spans="1:11" x14ac:dyDescent="0.45">
      <c r="A22" s="24"/>
      <c r="B22" s="25"/>
      <c r="C22" s="26"/>
      <c r="D22" s="26"/>
      <c r="E22" s="27"/>
      <c r="F22" s="26"/>
      <c r="G22" s="25"/>
      <c r="H22" s="26"/>
      <c r="I22" s="26"/>
      <c r="J22" s="28"/>
      <c r="K22" s="24"/>
    </row>
    <row r="23" spans="1:11" x14ac:dyDescent="0.45">
      <c r="A23" s="29"/>
      <c r="B23" s="30"/>
      <c r="C23" s="31"/>
      <c r="D23" s="31"/>
      <c r="E23" s="32"/>
      <c r="F23" s="31"/>
      <c r="G23" s="30"/>
      <c r="H23" s="31"/>
      <c r="I23" s="31"/>
      <c r="J23" s="33"/>
      <c r="K23" s="29"/>
    </row>
    <row r="24" spans="1:11" x14ac:dyDescent="0.45">
      <c r="A24" s="1"/>
      <c r="B24" s="8"/>
      <c r="C24" s="2"/>
      <c r="D24" s="2"/>
      <c r="E24" s="18"/>
      <c r="F24" s="2"/>
      <c r="G24" s="8"/>
      <c r="H24" s="2"/>
      <c r="I24" s="2"/>
      <c r="J24" s="11"/>
      <c r="K24" s="1"/>
    </row>
    <row r="25" spans="1:11" x14ac:dyDescent="0.45">
      <c r="A25" s="1"/>
      <c r="B25" s="8"/>
      <c r="C25" s="2"/>
      <c r="D25" s="2"/>
      <c r="E25" s="18"/>
      <c r="F25" s="2"/>
      <c r="G25" s="8"/>
      <c r="H25" s="2"/>
      <c r="I25" s="2"/>
      <c r="J25" s="11"/>
      <c r="K25" s="1"/>
    </row>
    <row r="26" spans="1:11" x14ac:dyDescent="0.45">
      <c r="A26" s="1"/>
      <c r="B26" s="8"/>
      <c r="C26" s="2"/>
      <c r="D26" s="2"/>
      <c r="E26" s="18"/>
      <c r="F26" s="2"/>
      <c r="G26" s="8"/>
      <c r="H26" s="2"/>
      <c r="I26" s="2"/>
      <c r="J26" s="11"/>
      <c r="K26" s="1"/>
    </row>
    <row r="27" spans="1:11" x14ac:dyDescent="0.45">
      <c r="A27" s="1"/>
      <c r="B27" s="8"/>
      <c r="C27" s="2"/>
      <c r="D27" s="2"/>
      <c r="E27" s="11"/>
      <c r="F27" s="2"/>
      <c r="G27" s="8"/>
      <c r="H27" s="2"/>
      <c r="I27" s="2"/>
      <c r="J27" s="11"/>
      <c r="K27" s="1"/>
    </row>
    <row r="28" spans="1:11" x14ac:dyDescent="0.45">
      <c r="A28" s="1"/>
      <c r="B28" s="8"/>
      <c r="C28" s="2"/>
      <c r="D28" s="2"/>
      <c r="E28" s="11"/>
      <c r="F28" s="2"/>
      <c r="G28" s="8"/>
      <c r="H28" s="2"/>
      <c r="I28" s="2"/>
      <c r="J28" s="11"/>
      <c r="K28" s="1"/>
    </row>
    <row r="29" spans="1:11" x14ac:dyDescent="0.45">
      <c r="A29" s="1"/>
      <c r="B29" s="8"/>
      <c r="C29" s="2"/>
      <c r="D29" s="2"/>
      <c r="E29" s="11"/>
      <c r="F29" s="2"/>
      <c r="G29" s="8"/>
      <c r="H29" s="2"/>
      <c r="I29" s="2"/>
      <c r="J29" s="11"/>
      <c r="K29" s="1"/>
    </row>
    <row r="30" spans="1:11" x14ac:dyDescent="0.45">
      <c r="A30" s="1"/>
      <c r="B30" s="8"/>
      <c r="C30" s="2"/>
      <c r="D30" s="2"/>
      <c r="E30" s="11"/>
      <c r="F30" s="2"/>
      <c r="G30" s="8"/>
      <c r="H30" s="2"/>
      <c r="I30" s="2"/>
      <c r="J30" s="11"/>
      <c r="K30" s="1"/>
    </row>
    <row r="31" spans="1:11" x14ac:dyDescent="0.45">
      <c r="A31" s="1"/>
      <c r="C31" s="2"/>
      <c r="D31" s="2"/>
      <c r="E31" s="11"/>
      <c r="F31" s="2"/>
      <c r="G31" s="8"/>
      <c r="H31" s="2"/>
      <c r="I31" s="2"/>
      <c r="J31" s="11"/>
      <c r="K31" s="1"/>
    </row>
    <row r="32" spans="1:11" x14ac:dyDescent="0.45">
      <c r="A32" s="1"/>
      <c r="B32" s="8"/>
      <c r="C32" s="2"/>
      <c r="D32" s="2"/>
      <c r="E32" s="11"/>
      <c r="F32" s="2"/>
      <c r="G32" s="8"/>
      <c r="H32" s="2"/>
      <c r="I32" s="2"/>
      <c r="J32" s="11"/>
      <c r="K32" s="1"/>
    </row>
    <row r="33" spans="1:11" x14ac:dyDescent="0.45">
      <c r="A33" s="1"/>
      <c r="B33" s="8"/>
      <c r="C33" s="2"/>
      <c r="D33" s="2"/>
      <c r="E33" s="11"/>
      <c r="F33" s="2"/>
      <c r="G33" s="8"/>
      <c r="H33" s="2"/>
      <c r="I33" s="2"/>
      <c r="J33" s="11"/>
      <c r="K33" s="1"/>
    </row>
  </sheetData>
  <mergeCells count="1">
    <mergeCell ref="A1:B1"/>
  </mergeCells>
  <pageMargins left="0.70866141732283472" right="0.70866141732283472" top="0.78740157480314965" bottom="0.78740157480314965" header="0.31496062992125984" footer="0.31496062992125984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Phase3</vt:lpstr>
      <vt:lpstr>Vergleich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 Heinrich Kuhn</dc:creator>
  <cp:lastModifiedBy>Manuel Ostermeier</cp:lastModifiedBy>
  <cp:lastPrinted>2023-12-04T17:41:48Z</cp:lastPrinted>
  <dcterms:created xsi:type="dcterms:W3CDTF">2020-12-13T16:33:46Z</dcterms:created>
  <dcterms:modified xsi:type="dcterms:W3CDTF">2026-01-03T09:16:35Z</dcterms:modified>
</cp:coreProperties>
</file>